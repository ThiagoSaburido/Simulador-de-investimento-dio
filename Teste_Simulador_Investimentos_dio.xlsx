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 tabRatio="500"/>
  </bookViews>
  <sheets>
    <sheet name="Simulador FI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<sst xmlns="http://schemas.openxmlformats.org/spreadsheetml/2006/main" count="23" uniqueCount="23">
  <si>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Simulador de Investimentos em Fundos Imobiliários (FIIs)</t>
  </si>
  <si>
    <t>DADOS DE ENTRADA (edite as células amarelas)</t>
  </si>
  <si>
    <t>Valor Investido Inicial (R$)</t>
  </si>
  <si>
    <t>Aporte Mensal (R$)</t>
  </si>
  <si>
    <t>Dividend Yield Mensal (%)</t>
  </si>
  <si>
    <t>Valorização Mensal da Cota (%)</t>
  </si>
  <si>
    <t>Período da Simulação (meses)</t>
  </si>
  <si>
    <t>RESUMO DA SIMULAÇÃO</t>
  </si>
  <si>
    <t>Total Investido (Aportes)</t>
  </si>
  <si>
    <t>Patrimônio Acumulado Final</t>
  </si>
  <si>
    <t>Total de Dividendos Recebidos</t>
  </si>
  <si>
    <t>Dividendo Médio Mensal (últimos 12 meses)</t>
  </si>
  <si>
    <t>Mês</t>
  </si>
  <si>
    <t>Aporte do Mês (R$)</t>
  </si>
  <si>
    <t>Valor Total Investido (R$)</t>
  </si>
  <si>
    <t>Patrimônio Acumulado (R$)</t>
  </si>
  <si>
    <t>Dividendos do Mês (R$)</t>
  </si>
  <si>
    <t>Dividendos Acumulados (R$)</t>
  </si>
  <si>
    <t>LEGENDA:</t>
  </si>
  <si>
    <t>Células amarelas (texto azul) = dados que você pode editar.</t>
  </si>
  <si>
    <t>Dividendos do mês = Patrimônio do mês anterior x Dividend Yield Mensal.</t>
  </si>
  <si>
    <t>Patrimônio Acumulado = (Patrimônio anterior + Aporte do mês) x (1 + Valorização Mensal da Cota).</t>
  </si>
  <si>
    <t>Tabela pré-calculada para 60 meses. Para simular outro período, altere B8 e estenda/apague linhas da tabela conforme necessário.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</si>
</sst>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&quot;R$&quot;* #,##0_-;\-&quot;R$&quot;* #,##0_-;_-&quot;R$&quot;* &quot;-&quot;_-;_-@_-"/>
    <numFmt numFmtId="177" formatCode="_-&quot;R$&quot;* #,##0.00_-;\-&quot;R$&quot;* #,##0.00_-;_-&quot;R$&quot;* &quot;-&quot;??_-;_-@_-"/>
    <numFmt numFmtId="178" formatCode="_-* #,##0_-;\-* #,##0_-;_-* &quot;-&quot;_-;_-@_-"/>
    <numFmt numFmtId="179" formatCode="_-* #,##0.00_-;\-* #,##0.00_-;_-* &quot;-&quot;??_-;_-@_-"/>
    <numFmt numFmtId="180" formatCode="&quot;R$ &quot;#,##0.00"/>
  </numFmts>
  <fonts count="30">
    <font>
      <sz val="11"/>
      <color theme="1"/>
      <name val="Calibri"/>
      <charset val="1"/>
    </font>
    <font>
      <b/>
      <sz val="16"/>
      <color rgb="FFFFFFFF"/>
      <name val="Arial"/>
      <charset val="1"/>
    </font>
    <font>
      <b/>
      <sz val="11"/>
      <name val="Arial"/>
      <charset val="1"/>
    </font>
    <font>
      <sz val="11"/>
      <color rgb="FF000000"/>
      <name val="Arial"/>
      <charset val="1"/>
    </font>
    <font>
      <sz val="11"/>
      <color rgb="FF0000FF"/>
      <name val="Arial"/>
      <charset val="1"/>
    </font>
    <font>
      <i/>
      <sz val="9"/>
      <color rgb="FF808080"/>
      <name val="Arial"/>
      <charset val="1"/>
    </font>
    <font>
      <b/>
      <sz val="11"/>
      <color rgb="FF1F4E78"/>
      <name val="Arial"/>
      <charset val="1"/>
    </font>
    <font>
      <b/>
      <sz val="11"/>
      <color rgb="FFFFFFFF"/>
      <name val="Arial"/>
      <charset val="1"/>
    </font>
    <font>
      <sz val="9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Border="0" applyAlignment="0" applyProtection="0"/>
    <xf numFmtId="177" fontId="9" fillId="0" borderId="0" applyBorder="0" applyAlignment="0" applyProtection="0"/>
    <xf numFmtId="9" fontId="9" fillId="0" borderId="0" applyBorder="0" applyAlignment="0" applyProtection="0"/>
    <xf numFmtId="178" fontId="9" fillId="0" borderId="0" applyBorder="0" applyAlignment="0" applyProtection="0"/>
    <xf numFmtId="179" fontId="9" fillId="0" borderId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8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Border="1"/>
    <xf numFmtId="0" fontId="3" fillId="0" borderId="0" xfId="0" applyFont="1"/>
    <xf numFmtId="180" fontId="4" fillId="3" borderId="1" xfId="0" applyNumberFormat="1" applyFont="1" applyFill="1" applyBorder="1" applyAlignment="1">
      <alignment horizontal="center"/>
    </xf>
    <xf numFmtId="0" fontId="5" fillId="0" borderId="0" xfId="0" applyFont="1"/>
    <xf numFmtId="10" fontId="4" fillId="3" borderId="1" xfId="0" applyNumberFormat="1" applyFont="1" applyFill="1" applyBorder="1" applyAlignment="1">
      <alignment horizontal="center"/>
    </xf>
    <xf numFmtId="1" fontId="4" fillId="3" borderId="1" xfId="0" applyNumberFormat="1" applyFont="1" applyFill="1" applyBorder="1" applyAlignment="1">
      <alignment horizontal="center"/>
    </xf>
    <xf numFmtId="180" fontId="6" fillId="4" borderId="1" xfId="0" applyNumberFormat="1" applyFont="1" applyFill="1" applyBorder="1"/>
    <xf numFmtId="0" fontId="7" fillId="2" borderId="1" xfId="0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/>
    </xf>
    <xf numFmtId="180" fontId="3" fillId="0" borderId="1" xfId="0" applyNumberFormat="1" applyFont="1" applyBorder="1"/>
    <xf numFmtId="1" fontId="3" fillId="4" borderId="1" xfId="0" applyNumberFormat="1" applyFont="1" applyFill="1" applyBorder="1" applyAlignment="1">
      <alignment horizontal="center"/>
    </xf>
    <xf numFmtId="180" fontId="3" fillId="4" borderId="1" xfId="0" applyNumberFormat="1" applyFont="1" applyFill="1" applyBorder="1"/>
    <xf numFmtId="0" fontId="2" fillId="0" borderId="0" xfId="0" applyFont="1"/>
    <xf numFmtId="0" fontId="8" fillId="0" borderId="0" xfId="0" applyFon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2F2F2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0</xdr:colOff>
      <xdr:row>13</xdr:row>
      <xdr:rowOff>0</xdr:rowOff>
    </xdr:from>
    <xdr:to>
      <xdr:col>7</xdr:col>
      <xdr:colOff>304800</xdr:colOff>
      <xdr:row>14</xdr:row>
      <xdr:rowOff>114300</xdr:rowOff>
    </xdr:to>
    <xdr:pic>
      <xdr:nvPicPr>
        <xdr:cNvPr id="2" name="Imagem 1" descr="banner_sabu_invest.png"/>
        <xdr:cNvPicPr>
          <a:picLocks noChangeAspect="1"/>
        </xdr:cNvPicPr>
      </xdr:nvPicPr>
      <xdr:blipFill>
        <a:stretch>
          <a:fillRect/>
        </a:stretch>
      </xdr:blipFill>
      <xdr:spPr>
        <a:xfrm>
          <a:off x="10998835" y="2638425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9525</xdr:colOff>
      <xdr:row>0</xdr:row>
      <xdr:rowOff>29210</xdr:rowOff>
    </xdr:from>
    <xdr:to>
      <xdr:col>6</xdr:col>
      <xdr:colOff>9525</xdr:colOff>
      <xdr:row>10</xdr:row>
      <xdr:rowOff>1270</xdr:rowOff>
    </xdr:to>
    <xdr:pic>
      <xdr:nvPicPr>
        <xdr:cNvPr id="3" name="Imagem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29210"/>
          <a:ext cx="10420350" cy="18770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1:F94"/>
  <sheetViews>
    <sheetView tabSelected="1" workbookViewId="0">
      <pane ySplit="27" topLeftCell="A28" activePane="bottomLeft" state="frozen"/>
      <selection/>
      <selection pane="bottomLeft" activeCell="B17" sqref="B17"/>
    </sheetView>
  </sheetViews>
  <sheetFormatPr defaultColWidth="8.67619047619048" defaultRowHeight="15" outlineLevelCol="5"/>
  <cols>
    <col min="1" max="1" width="50.2857142857143" customWidth="1"/>
    <col min="2" max="2" width="20" customWidth="1"/>
    <col min="3" max="4" width="22" customWidth="1"/>
    <col min="5" max="5" width="20" customWidth="1"/>
    <col min="6" max="6" width="22" customWidth="1"/>
  </cols>
  <sheetData>
    <row r="11" ht="27.75" customHeight="1" spans="1:6">
      <c r="A11" s="1" t="s">
        <v>0</v>
      </c>
      <c r="B11" s="1"/>
      <c r="C11" s="1"/>
      <c r="D11" s="1"/>
      <c r="E11" s="1"/>
      <c r="F11" s="1"/>
    </row>
    <row r="13" spans="1:6">
      <c r="A13" s="2" t="s">
        <v>1</v>
      </c>
      <c r="B13" s="2"/>
      <c r="C13" s="2"/>
      <c r="D13" s="2"/>
      <c r="E13" s="2"/>
      <c r="F13" s="2"/>
    </row>
    <row r="14" spans="1:6">
      <c r="A14" s="3" t="s">
        <v>2</v>
      </c>
      <c r="B14" s="4">
        <v>500</v>
      </c>
      <c r="C14" s="5"/>
    </row>
    <row r="15" spans="1:6">
      <c r="A15" s="3" t="s">
        <v>3</v>
      </c>
      <c r="B15" s="4">
        <v>400</v>
      </c>
    </row>
    <row r="16" spans="1:6">
      <c r="A16" s="3" t="s">
        <v>4</v>
      </c>
      <c r="B16" s="6">
        <v>0.008</v>
      </c>
    </row>
    <row r="17" spans="1:6">
      <c r="A17" s="3" t="s">
        <v>5</v>
      </c>
      <c r="B17" s="6">
        <v>0.003</v>
      </c>
    </row>
    <row r="18" spans="1:6">
      <c r="A18" s="3" t="s">
        <v>6</v>
      </c>
      <c r="B18" s="7">
        <v>60</v>
      </c>
    </row>
    <row r="20" spans="1:6">
      <c r="A20" s="2" t="s">
        <v>7</v>
      </c>
      <c r="B20" s="2"/>
      <c r="C20" s="2"/>
      <c r="D20" s="2"/>
      <c r="E20" s="2"/>
      <c r="F20" s="2"/>
    </row>
    <row r="21" spans="1:6">
      <c r="A21" s="3" t="s">
        <v>8</v>
      </c>
      <c r="B21" s="8">
        <f>B14+SUM(B28:B87)</f>
        <v>24500</v>
      </c>
    </row>
    <row r="22" spans="1:6">
      <c r="A22" s="3" t="s">
        <v>9</v>
      </c>
      <c r="B22" s="8">
        <f>D87</f>
        <v>26929.8457147381</v>
      </c>
    </row>
    <row r="23" spans="1:6">
      <c r="A23" s="3" t="s">
        <v>10</v>
      </c>
      <c r="B23" s="8">
        <f>SUM(E28:E87)</f>
        <v>6287.58857263526</v>
      </c>
    </row>
    <row r="24" spans="1:6">
      <c r="A24" s="3" t="s">
        <v>11</v>
      </c>
      <c r="B24" s="8">
        <f>AVERAGE(E76:E87)</f>
        <v>190.722288251435</v>
      </c>
    </row>
    <row r="27" ht="30" customHeight="1" spans="1:6">
      <c r="A27" s="9" t="s">
        <v>12</v>
      </c>
      <c r="B27" s="9" t="s">
        <v>13</v>
      </c>
      <c r="C27" s="9" t="s">
        <v>14</v>
      </c>
      <c r="D27" s="9" t="s">
        <v>15</v>
      </c>
      <c r="E27" s="9" t="s">
        <v>16</v>
      </c>
      <c r="F27" s="9" t="s">
        <v>17</v>
      </c>
    </row>
    <row r="28" spans="1:6">
      <c r="A28" s="10">
        <v>1</v>
      </c>
      <c r="B28" s="11">
        <f t="shared" ref="B28:B87" si="0">$B$15</f>
        <v>400</v>
      </c>
      <c r="C28" s="11">
        <f>$B$14+SUM($B$28:B28)</f>
        <v>900</v>
      </c>
      <c r="D28" s="11">
        <f>($B$14+B28)*(1+$B$17)</f>
        <v>902.7</v>
      </c>
      <c r="E28" s="11">
        <f>$B$14*$B$16</f>
        <v>4</v>
      </c>
      <c r="F28" s="11">
        <f>E28</f>
        <v>4</v>
      </c>
    </row>
    <row r="29" spans="1:6">
      <c r="A29" s="12">
        <v>2</v>
      </c>
      <c r="B29" s="13">
        <f t="shared" si="0"/>
        <v>400</v>
      </c>
      <c r="C29" s="13">
        <f>$B$14+SUM($B$28:B29)</f>
        <v>1300</v>
      </c>
      <c r="D29" s="13">
        <f t="shared" ref="D29:D87" si="1">(D28+B29)*(1+$B$17)</f>
        <v>1306.6081</v>
      </c>
      <c r="E29" s="13">
        <f t="shared" ref="E29:E87" si="2">D28*$B$16</f>
        <v>7.2216</v>
      </c>
      <c r="F29" s="13">
        <f t="shared" ref="F29:F87" si="3">F28+E29</f>
        <v>11.2216</v>
      </c>
    </row>
    <row r="30" spans="1:6">
      <c r="A30" s="10">
        <v>3</v>
      </c>
      <c r="B30" s="11">
        <f t="shared" si="0"/>
        <v>400</v>
      </c>
      <c r="C30" s="11">
        <f>$B$14+SUM($B$28:B30)</f>
        <v>1700</v>
      </c>
      <c r="D30" s="11">
        <f t="shared" si="1"/>
        <v>1711.7279243</v>
      </c>
      <c r="E30" s="11">
        <f t="shared" si="2"/>
        <v>10.4528648</v>
      </c>
      <c r="F30" s="11">
        <f t="shared" si="3"/>
        <v>21.6744648</v>
      </c>
    </row>
    <row r="31" spans="1:6">
      <c r="A31" s="12">
        <v>4</v>
      </c>
      <c r="B31" s="13">
        <f t="shared" si="0"/>
        <v>400</v>
      </c>
      <c r="C31" s="13">
        <f>$B$14+SUM($B$28:B31)</f>
        <v>2100</v>
      </c>
      <c r="D31" s="13">
        <f t="shared" si="1"/>
        <v>2118.0631080729</v>
      </c>
      <c r="E31" s="13">
        <f t="shared" si="2"/>
        <v>13.6938233944</v>
      </c>
      <c r="F31" s="13">
        <f t="shared" si="3"/>
        <v>35.3682881944</v>
      </c>
    </row>
    <row r="32" spans="1:6">
      <c r="A32" s="10">
        <v>5</v>
      </c>
      <c r="B32" s="11">
        <f t="shared" si="0"/>
        <v>400</v>
      </c>
      <c r="C32" s="11">
        <f>$B$14+SUM($B$28:B32)</f>
        <v>2500</v>
      </c>
      <c r="D32" s="11">
        <f t="shared" si="1"/>
        <v>2525.61729739712</v>
      </c>
      <c r="E32" s="11">
        <f t="shared" si="2"/>
        <v>16.9445048645832</v>
      </c>
      <c r="F32" s="11">
        <f t="shared" si="3"/>
        <v>52.3127930589832</v>
      </c>
    </row>
    <row r="33" spans="1:6">
      <c r="A33" s="12">
        <v>6</v>
      </c>
      <c r="B33" s="13">
        <f t="shared" si="0"/>
        <v>400</v>
      </c>
      <c r="C33" s="13">
        <f>$B$14+SUM($B$28:B33)</f>
        <v>2900</v>
      </c>
      <c r="D33" s="13">
        <f t="shared" si="1"/>
        <v>2934.39414928931</v>
      </c>
      <c r="E33" s="13">
        <f t="shared" si="2"/>
        <v>20.2049383791769</v>
      </c>
      <c r="F33" s="13">
        <f t="shared" si="3"/>
        <v>72.5177314381601</v>
      </c>
    </row>
    <row r="34" spans="1:6">
      <c r="A34" s="10">
        <v>7</v>
      </c>
      <c r="B34" s="11">
        <f t="shared" si="0"/>
        <v>400</v>
      </c>
      <c r="C34" s="11">
        <f>$B$14+SUM($B$28:B34)</f>
        <v>3300</v>
      </c>
      <c r="D34" s="11">
        <f t="shared" si="1"/>
        <v>3344.39733173718</v>
      </c>
      <c r="E34" s="11">
        <f t="shared" si="2"/>
        <v>23.4751531943145</v>
      </c>
      <c r="F34" s="11">
        <f t="shared" si="3"/>
        <v>95.9928846324746</v>
      </c>
    </row>
    <row r="35" spans="1:6">
      <c r="A35" s="12">
        <v>8</v>
      </c>
      <c r="B35" s="13">
        <f t="shared" si="0"/>
        <v>400</v>
      </c>
      <c r="C35" s="13">
        <f>$B$14+SUM($B$28:B35)</f>
        <v>3700</v>
      </c>
      <c r="D35" s="13">
        <f t="shared" si="1"/>
        <v>3755.63052373239</v>
      </c>
      <c r="E35" s="13">
        <f t="shared" si="2"/>
        <v>26.7551786538974</v>
      </c>
      <c r="F35" s="13">
        <f t="shared" si="3"/>
        <v>122.748063286372</v>
      </c>
    </row>
    <row r="36" spans="1:6">
      <c r="A36" s="10">
        <v>9</v>
      </c>
      <c r="B36" s="11">
        <f t="shared" si="0"/>
        <v>400</v>
      </c>
      <c r="C36" s="11">
        <f>$B$14+SUM($B$28:B36)</f>
        <v>4100</v>
      </c>
      <c r="D36" s="11">
        <f t="shared" si="1"/>
        <v>4168.09741530358</v>
      </c>
      <c r="E36" s="11">
        <f t="shared" si="2"/>
        <v>30.0450441898591</v>
      </c>
      <c r="F36" s="11">
        <f t="shared" si="3"/>
        <v>152.793107476231</v>
      </c>
    </row>
    <row r="37" spans="1:6">
      <c r="A37" s="12">
        <v>10</v>
      </c>
      <c r="B37" s="13">
        <f t="shared" si="0"/>
        <v>400</v>
      </c>
      <c r="C37" s="13">
        <f>$B$14+SUM($B$28:B37)</f>
        <v>4500</v>
      </c>
      <c r="D37" s="13">
        <f t="shared" si="1"/>
        <v>4581.80170754949</v>
      </c>
      <c r="E37" s="13">
        <f t="shared" si="2"/>
        <v>33.3447793224287</v>
      </c>
      <c r="F37" s="13">
        <f t="shared" si="3"/>
        <v>186.13788679866</v>
      </c>
    </row>
    <row r="38" spans="1:6">
      <c r="A38" s="10">
        <v>11</v>
      </c>
      <c r="B38" s="11">
        <f t="shared" si="0"/>
        <v>400</v>
      </c>
      <c r="C38" s="11">
        <f>$B$14+SUM($B$28:B38)</f>
        <v>4900</v>
      </c>
      <c r="D38" s="11">
        <f t="shared" si="1"/>
        <v>4996.74711267214</v>
      </c>
      <c r="E38" s="11">
        <f t="shared" si="2"/>
        <v>36.654413660396</v>
      </c>
      <c r="F38" s="11">
        <f t="shared" si="3"/>
        <v>222.792300459056</v>
      </c>
    </row>
    <row r="39" spans="1:6">
      <c r="A39" s="12">
        <v>12</v>
      </c>
      <c r="B39" s="13">
        <f t="shared" si="0"/>
        <v>400</v>
      </c>
      <c r="C39" s="13">
        <f>$B$14+SUM($B$28:B39)</f>
        <v>5300</v>
      </c>
      <c r="D39" s="13">
        <f t="shared" si="1"/>
        <v>5412.93735401016</v>
      </c>
      <c r="E39" s="13">
        <f t="shared" si="2"/>
        <v>39.9739769013771</v>
      </c>
      <c r="F39" s="13">
        <f t="shared" si="3"/>
        <v>262.766277360433</v>
      </c>
    </row>
    <row r="40" spans="1:6">
      <c r="A40" s="10">
        <v>13</v>
      </c>
      <c r="B40" s="11">
        <f t="shared" si="0"/>
        <v>400</v>
      </c>
      <c r="C40" s="11">
        <f>$B$14+SUM($B$28:B40)</f>
        <v>5700</v>
      </c>
      <c r="D40" s="11">
        <f t="shared" si="1"/>
        <v>5830.37616607219</v>
      </c>
      <c r="E40" s="11">
        <f t="shared" si="2"/>
        <v>43.3034988320813</v>
      </c>
      <c r="F40" s="11">
        <f t="shared" si="3"/>
        <v>306.069776192514</v>
      </c>
    </row>
    <row r="41" spans="1:6">
      <c r="A41" s="12">
        <v>14</v>
      </c>
      <c r="B41" s="13">
        <f t="shared" si="0"/>
        <v>400</v>
      </c>
      <c r="C41" s="13">
        <f>$B$14+SUM($B$28:B41)</f>
        <v>6100</v>
      </c>
      <c r="D41" s="13">
        <f t="shared" si="1"/>
        <v>6249.0672945704</v>
      </c>
      <c r="E41" s="13">
        <f t="shared" si="2"/>
        <v>46.6430093285775</v>
      </c>
      <c r="F41" s="13">
        <f t="shared" si="3"/>
        <v>352.712785521092</v>
      </c>
    </row>
    <row r="42" spans="1:6">
      <c r="A42" s="10">
        <v>15</v>
      </c>
      <c r="B42" s="11">
        <f t="shared" si="0"/>
        <v>400</v>
      </c>
      <c r="C42" s="11">
        <f>$B$14+SUM($B$28:B42)</f>
        <v>6500</v>
      </c>
      <c r="D42" s="11">
        <f t="shared" si="1"/>
        <v>6669.01449645411</v>
      </c>
      <c r="E42" s="11">
        <f t="shared" si="2"/>
        <v>49.9925383565632</v>
      </c>
      <c r="F42" s="11">
        <f t="shared" si="3"/>
        <v>402.705323877655</v>
      </c>
    </row>
    <row r="43" spans="1:6">
      <c r="A43" s="12">
        <v>16</v>
      </c>
      <c r="B43" s="13">
        <f t="shared" si="0"/>
        <v>400</v>
      </c>
      <c r="C43" s="13">
        <f>$B$14+SUM($B$28:B43)</f>
        <v>6900</v>
      </c>
      <c r="D43" s="13">
        <f t="shared" si="1"/>
        <v>7090.22153994347</v>
      </c>
      <c r="E43" s="13">
        <f t="shared" si="2"/>
        <v>53.3521159716329</v>
      </c>
      <c r="F43" s="13">
        <f t="shared" si="3"/>
        <v>456.057439849288</v>
      </c>
    </row>
    <row r="44" spans="1:6">
      <c r="A44" s="10">
        <v>17</v>
      </c>
      <c r="B44" s="11">
        <f t="shared" si="0"/>
        <v>400</v>
      </c>
      <c r="C44" s="11">
        <f>$B$14+SUM($B$28:B44)</f>
        <v>7300</v>
      </c>
      <c r="D44" s="11">
        <f t="shared" si="1"/>
        <v>7512.6922045633</v>
      </c>
      <c r="E44" s="11">
        <f t="shared" si="2"/>
        <v>56.7217723195478</v>
      </c>
      <c r="F44" s="11">
        <f t="shared" si="3"/>
        <v>512.779212168835</v>
      </c>
    </row>
    <row r="45" spans="1:6">
      <c r="A45" s="12">
        <v>18</v>
      </c>
      <c r="B45" s="13">
        <f t="shared" si="0"/>
        <v>400</v>
      </c>
      <c r="C45" s="13">
        <f>$B$14+SUM($B$28:B45)</f>
        <v>7700</v>
      </c>
      <c r="D45" s="13">
        <f t="shared" si="1"/>
        <v>7936.43028117699</v>
      </c>
      <c r="E45" s="13">
        <f t="shared" si="2"/>
        <v>60.1015376365064</v>
      </c>
      <c r="F45" s="13">
        <f t="shared" si="3"/>
        <v>572.880749805342</v>
      </c>
    </row>
    <row r="46" spans="1:6">
      <c r="A46" s="10">
        <v>19</v>
      </c>
      <c r="B46" s="11">
        <f t="shared" si="0"/>
        <v>400</v>
      </c>
      <c r="C46" s="11">
        <f>$B$14+SUM($B$28:B46)</f>
        <v>8100</v>
      </c>
      <c r="D46" s="11">
        <f t="shared" si="1"/>
        <v>8361.43957202052</v>
      </c>
      <c r="E46" s="11">
        <f t="shared" si="2"/>
        <v>63.4914422494159</v>
      </c>
      <c r="F46" s="11">
        <f t="shared" si="3"/>
        <v>636.372192054758</v>
      </c>
    </row>
    <row r="47" spans="1:6">
      <c r="A47" s="12">
        <v>20</v>
      </c>
      <c r="B47" s="13">
        <f t="shared" si="0"/>
        <v>400</v>
      </c>
      <c r="C47" s="13">
        <f>$B$14+SUM($B$28:B47)</f>
        <v>8500</v>
      </c>
      <c r="D47" s="13">
        <f t="shared" si="1"/>
        <v>8787.72389073658</v>
      </c>
      <c r="E47" s="13">
        <f t="shared" si="2"/>
        <v>66.8915165761642</v>
      </c>
      <c r="F47" s="13">
        <f t="shared" si="3"/>
        <v>703.263708630922</v>
      </c>
    </row>
    <row r="48" spans="1:6">
      <c r="A48" s="10">
        <v>21</v>
      </c>
      <c r="B48" s="11">
        <f t="shared" si="0"/>
        <v>400</v>
      </c>
      <c r="C48" s="11">
        <f>$B$14+SUM($B$28:B48)</f>
        <v>8900</v>
      </c>
      <c r="D48" s="11">
        <f t="shared" si="1"/>
        <v>9215.28706240879</v>
      </c>
      <c r="E48" s="11">
        <f t="shared" si="2"/>
        <v>70.3017911258927</v>
      </c>
      <c r="F48" s="11">
        <f t="shared" si="3"/>
        <v>773.565499756815</v>
      </c>
    </row>
    <row r="49" spans="1:6">
      <c r="A49" s="12">
        <v>22</v>
      </c>
      <c r="B49" s="13">
        <f t="shared" si="0"/>
        <v>400</v>
      </c>
      <c r="C49" s="13">
        <f>$B$14+SUM($B$28:B49)</f>
        <v>9300</v>
      </c>
      <c r="D49" s="13">
        <f t="shared" si="1"/>
        <v>9644.13292359602</v>
      </c>
      <c r="E49" s="13">
        <f t="shared" si="2"/>
        <v>73.7222964992703</v>
      </c>
      <c r="F49" s="13">
        <f t="shared" si="3"/>
        <v>847.287796256085</v>
      </c>
    </row>
    <row r="50" spans="1:6">
      <c r="A50" s="10">
        <v>23</v>
      </c>
      <c r="B50" s="11">
        <f t="shared" si="0"/>
        <v>400</v>
      </c>
      <c r="C50" s="11">
        <f>$B$14+SUM($B$28:B50)</f>
        <v>9700</v>
      </c>
      <c r="D50" s="11">
        <f t="shared" si="1"/>
        <v>10074.2653223668</v>
      </c>
      <c r="E50" s="11">
        <f t="shared" si="2"/>
        <v>77.1530633887681</v>
      </c>
      <c r="F50" s="11">
        <f t="shared" si="3"/>
        <v>924.440859644853</v>
      </c>
    </row>
    <row r="51" spans="1:6">
      <c r="A51" s="12">
        <v>24</v>
      </c>
      <c r="B51" s="13">
        <f t="shared" si="0"/>
        <v>400</v>
      </c>
      <c r="C51" s="13">
        <f>$B$14+SUM($B$28:B51)</f>
        <v>10100</v>
      </c>
      <c r="D51" s="13">
        <f t="shared" si="1"/>
        <v>10505.6881183339</v>
      </c>
      <c r="E51" s="13">
        <f t="shared" si="2"/>
        <v>80.5941225789344</v>
      </c>
      <c r="F51" s="13">
        <f t="shared" si="3"/>
        <v>1005.03498222379</v>
      </c>
    </row>
    <row r="52" spans="1:6">
      <c r="A52" s="10">
        <v>25</v>
      </c>
      <c r="B52" s="11">
        <f t="shared" si="0"/>
        <v>400</v>
      </c>
      <c r="C52" s="11">
        <f>$B$14+SUM($B$28:B52)</f>
        <v>10500</v>
      </c>
      <c r="D52" s="11">
        <f t="shared" si="1"/>
        <v>10938.4051826889</v>
      </c>
      <c r="E52" s="11">
        <f t="shared" si="2"/>
        <v>84.0455049466712</v>
      </c>
      <c r="F52" s="11">
        <f t="shared" si="3"/>
        <v>1089.08048717046</v>
      </c>
    </row>
    <row r="53" spans="1:6">
      <c r="A53" s="12">
        <v>26</v>
      </c>
      <c r="B53" s="13">
        <f t="shared" si="0"/>
        <v>400</v>
      </c>
      <c r="C53" s="13">
        <f>$B$14+SUM($B$28:B53)</f>
        <v>10900</v>
      </c>
      <c r="D53" s="13">
        <f t="shared" si="1"/>
        <v>11372.420398237</v>
      </c>
      <c r="E53" s="13">
        <f t="shared" si="2"/>
        <v>87.5072414615112</v>
      </c>
      <c r="F53" s="13">
        <f t="shared" si="3"/>
        <v>1176.58772863197</v>
      </c>
    </row>
    <row r="54" spans="1:6">
      <c r="A54" s="10">
        <v>27</v>
      </c>
      <c r="B54" s="11">
        <f t="shared" si="0"/>
        <v>400</v>
      </c>
      <c r="C54" s="11">
        <f>$B$14+SUM($B$28:B54)</f>
        <v>11300</v>
      </c>
      <c r="D54" s="11">
        <f t="shared" si="1"/>
        <v>11807.7376594317</v>
      </c>
      <c r="E54" s="11">
        <f t="shared" si="2"/>
        <v>90.9793631858957</v>
      </c>
      <c r="F54" s="11">
        <f t="shared" si="3"/>
        <v>1267.56709181787</v>
      </c>
    </row>
    <row r="55" spans="1:6">
      <c r="A55" s="12">
        <v>28</v>
      </c>
      <c r="B55" s="13">
        <f t="shared" si="0"/>
        <v>400</v>
      </c>
      <c r="C55" s="13">
        <f>$B$14+SUM($B$28:B55)</f>
        <v>11700</v>
      </c>
      <c r="D55" s="13">
        <f t="shared" si="1"/>
        <v>12244.36087241</v>
      </c>
      <c r="E55" s="13">
        <f t="shared" si="2"/>
        <v>94.4619012754534</v>
      </c>
      <c r="F55" s="13">
        <f t="shared" si="3"/>
        <v>1362.02899309332</v>
      </c>
    </row>
    <row r="56" spans="1:6">
      <c r="A56" s="10">
        <v>29</v>
      </c>
      <c r="B56" s="11">
        <f t="shared" si="0"/>
        <v>400</v>
      </c>
      <c r="C56" s="11">
        <f>$B$14+SUM($B$28:B56)</f>
        <v>12100</v>
      </c>
      <c r="D56" s="11">
        <f t="shared" si="1"/>
        <v>12682.2939550272</v>
      </c>
      <c r="E56" s="11">
        <f t="shared" si="2"/>
        <v>97.9548869792798</v>
      </c>
      <c r="F56" s="11">
        <f t="shared" si="3"/>
        <v>1459.9838800726</v>
      </c>
    </row>
    <row r="57" spans="1:6">
      <c r="A57" s="12">
        <v>30</v>
      </c>
      <c r="B57" s="13">
        <f t="shared" si="0"/>
        <v>400</v>
      </c>
      <c r="C57" s="13">
        <f>$B$14+SUM($B$28:B57)</f>
        <v>12500</v>
      </c>
      <c r="D57" s="13">
        <f t="shared" si="1"/>
        <v>13121.5408368923</v>
      </c>
      <c r="E57" s="13">
        <f t="shared" si="2"/>
        <v>101.458351640218</v>
      </c>
      <c r="F57" s="13">
        <f t="shared" si="3"/>
        <v>1561.44223171282</v>
      </c>
    </row>
    <row r="58" spans="1:6">
      <c r="A58" s="10">
        <v>31</v>
      </c>
      <c r="B58" s="11">
        <f t="shared" si="0"/>
        <v>400</v>
      </c>
      <c r="C58" s="11">
        <f>$B$14+SUM($B$28:B58)</f>
        <v>12900</v>
      </c>
      <c r="D58" s="11">
        <f t="shared" si="1"/>
        <v>13562.105459403</v>
      </c>
      <c r="E58" s="11">
        <f t="shared" si="2"/>
        <v>104.972326695138</v>
      </c>
      <c r="F58" s="11">
        <f t="shared" si="3"/>
        <v>1666.41455840795</v>
      </c>
    </row>
    <row r="59" spans="1:6">
      <c r="A59" s="12">
        <v>32</v>
      </c>
      <c r="B59" s="13">
        <f t="shared" si="0"/>
        <v>400</v>
      </c>
      <c r="C59" s="13">
        <f>$B$14+SUM($B$28:B59)</f>
        <v>13300</v>
      </c>
      <c r="D59" s="13">
        <f t="shared" si="1"/>
        <v>14003.9917757812</v>
      </c>
      <c r="E59" s="13">
        <f t="shared" si="2"/>
        <v>108.496843675224</v>
      </c>
      <c r="F59" s="13">
        <f t="shared" si="3"/>
        <v>1774.91140208318</v>
      </c>
    </row>
    <row r="60" spans="1:6">
      <c r="A60" s="10">
        <v>33</v>
      </c>
      <c r="B60" s="11">
        <f t="shared" si="0"/>
        <v>400</v>
      </c>
      <c r="C60" s="11">
        <f>$B$14+SUM($B$28:B60)</f>
        <v>13700</v>
      </c>
      <c r="D60" s="11">
        <f t="shared" si="1"/>
        <v>14447.2037511085</v>
      </c>
      <c r="E60" s="11">
        <f t="shared" si="2"/>
        <v>112.031934206249</v>
      </c>
      <c r="F60" s="11">
        <f t="shared" si="3"/>
        <v>1886.94333628943</v>
      </c>
    </row>
    <row r="61" spans="1:6">
      <c r="A61" s="12">
        <v>34</v>
      </c>
      <c r="B61" s="13">
        <f t="shared" si="0"/>
        <v>400</v>
      </c>
      <c r="C61" s="13">
        <f>$B$14+SUM($B$28:B61)</f>
        <v>14100</v>
      </c>
      <c r="D61" s="13">
        <f t="shared" si="1"/>
        <v>14891.7453623618</v>
      </c>
      <c r="E61" s="13">
        <f t="shared" si="2"/>
        <v>115.577630008868</v>
      </c>
      <c r="F61" s="13">
        <f t="shared" si="3"/>
        <v>2002.5209662983</v>
      </c>
    </row>
    <row r="62" spans="1:6">
      <c r="A62" s="10">
        <v>35</v>
      </c>
      <c r="B62" s="11">
        <f t="shared" si="0"/>
        <v>400</v>
      </c>
      <c r="C62" s="11">
        <f>$B$14+SUM($B$28:B62)</f>
        <v>14500</v>
      </c>
      <c r="D62" s="11">
        <f t="shared" si="1"/>
        <v>15337.6205984489</v>
      </c>
      <c r="E62" s="11">
        <f t="shared" si="2"/>
        <v>119.133962898895</v>
      </c>
      <c r="F62" s="11">
        <f t="shared" si="3"/>
        <v>2121.65492919719</v>
      </c>
    </row>
    <row r="63" spans="1:6">
      <c r="A63" s="12">
        <v>36</v>
      </c>
      <c r="B63" s="13">
        <f t="shared" si="0"/>
        <v>400</v>
      </c>
      <c r="C63" s="13">
        <f>$B$14+SUM($B$28:B63)</f>
        <v>14900</v>
      </c>
      <c r="D63" s="13">
        <f t="shared" si="1"/>
        <v>15784.8334602443</v>
      </c>
      <c r="E63" s="13">
        <f t="shared" si="2"/>
        <v>122.700964787591</v>
      </c>
      <c r="F63" s="13">
        <f t="shared" si="3"/>
        <v>2244.35589398478</v>
      </c>
    </row>
    <row r="64" spans="1:6">
      <c r="A64" s="10">
        <v>37</v>
      </c>
      <c r="B64" s="11">
        <f t="shared" si="0"/>
        <v>400</v>
      </c>
      <c r="C64" s="11">
        <f>$B$14+SUM($B$28:B64)</f>
        <v>15300</v>
      </c>
      <c r="D64" s="11">
        <f t="shared" si="1"/>
        <v>16233.387960625</v>
      </c>
      <c r="E64" s="11">
        <f t="shared" si="2"/>
        <v>126.278667681954</v>
      </c>
      <c r="F64" s="11">
        <f t="shared" si="3"/>
        <v>2370.63456166674</v>
      </c>
    </row>
    <row r="65" spans="1:6">
      <c r="A65" s="12">
        <v>38</v>
      </c>
      <c r="B65" s="13">
        <f t="shared" si="0"/>
        <v>400</v>
      </c>
      <c r="C65" s="13">
        <f>$B$14+SUM($B$28:B65)</f>
        <v>15700</v>
      </c>
      <c r="D65" s="13">
        <f t="shared" si="1"/>
        <v>16683.2881245069</v>
      </c>
      <c r="E65" s="13">
        <f t="shared" si="2"/>
        <v>129.867103685</v>
      </c>
      <c r="F65" s="13">
        <f t="shared" si="3"/>
        <v>2500.50166535174</v>
      </c>
    </row>
    <row r="66" spans="1:6">
      <c r="A66" s="10">
        <v>39</v>
      </c>
      <c r="B66" s="11">
        <f t="shared" si="0"/>
        <v>400</v>
      </c>
      <c r="C66" s="11">
        <f>$B$14+SUM($B$28:B66)</f>
        <v>16100</v>
      </c>
      <c r="D66" s="11">
        <f t="shared" si="1"/>
        <v>17134.5379888804</v>
      </c>
      <c r="E66" s="11">
        <f t="shared" si="2"/>
        <v>133.466304996055</v>
      </c>
      <c r="F66" s="11">
        <f t="shared" si="3"/>
        <v>2633.96797034779</v>
      </c>
    </row>
    <row r="67" spans="1:6">
      <c r="A67" s="12">
        <v>40</v>
      </c>
      <c r="B67" s="13">
        <f t="shared" si="0"/>
        <v>400</v>
      </c>
      <c r="C67" s="13">
        <f>$B$14+SUM($B$28:B67)</f>
        <v>16500</v>
      </c>
      <c r="D67" s="13">
        <f t="shared" si="1"/>
        <v>17587.141602847</v>
      </c>
      <c r="E67" s="13">
        <f t="shared" si="2"/>
        <v>137.076303911043</v>
      </c>
      <c r="F67" s="13">
        <f t="shared" si="3"/>
        <v>2771.04427425883</v>
      </c>
    </row>
    <row r="68" spans="1:6">
      <c r="A68" s="10">
        <v>41</v>
      </c>
      <c r="B68" s="11">
        <f t="shared" si="0"/>
        <v>400</v>
      </c>
      <c r="C68" s="11">
        <f>$B$14+SUM($B$28:B68)</f>
        <v>16900</v>
      </c>
      <c r="D68" s="11">
        <f t="shared" si="1"/>
        <v>18041.1030276556</v>
      </c>
      <c r="E68" s="11">
        <f t="shared" si="2"/>
        <v>140.697132822776</v>
      </c>
      <c r="F68" s="11">
        <f t="shared" si="3"/>
        <v>2911.74140708161</v>
      </c>
    </row>
    <row r="69" spans="1:6">
      <c r="A69" s="12">
        <v>42</v>
      </c>
      <c r="B69" s="13">
        <f t="shared" si="0"/>
        <v>400</v>
      </c>
      <c r="C69" s="13">
        <f>$B$14+SUM($B$28:B69)</f>
        <v>17300</v>
      </c>
      <c r="D69" s="13">
        <f t="shared" si="1"/>
        <v>18496.4263367385</v>
      </c>
      <c r="E69" s="13">
        <f t="shared" si="2"/>
        <v>144.328824221245</v>
      </c>
      <c r="F69" s="13">
        <f t="shared" si="3"/>
        <v>3056.07023130285</v>
      </c>
    </row>
    <row r="70" spans="1:6">
      <c r="A70" s="10">
        <v>43</v>
      </c>
      <c r="B70" s="11">
        <f t="shared" si="0"/>
        <v>400</v>
      </c>
      <c r="C70" s="11">
        <f>$B$14+SUM($B$28:B70)</f>
        <v>17700</v>
      </c>
      <c r="D70" s="11">
        <f t="shared" si="1"/>
        <v>18953.1156157487</v>
      </c>
      <c r="E70" s="11">
        <f t="shared" si="2"/>
        <v>147.971410693908</v>
      </c>
      <c r="F70" s="11">
        <f t="shared" si="3"/>
        <v>3204.04164199676</v>
      </c>
    </row>
    <row r="71" spans="1:6">
      <c r="A71" s="12">
        <v>44</v>
      </c>
      <c r="B71" s="13">
        <f t="shared" si="0"/>
        <v>400</v>
      </c>
      <c r="C71" s="13">
        <f>$B$14+SUM($B$28:B71)</f>
        <v>18100</v>
      </c>
      <c r="D71" s="13">
        <f t="shared" si="1"/>
        <v>19411.174962596</v>
      </c>
      <c r="E71" s="13">
        <f t="shared" si="2"/>
        <v>151.62492492599</v>
      </c>
      <c r="F71" s="13">
        <f t="shared" si="3"/>
        <v>3355.66656692275</v>
      </c>
    </row>
    <row r="72" spans="1:6">
      <c r="A72" s="10">
        <v>45</v>
      </c>
      <c r="B72" s="11">
        <f t="shared" si="0"/>
        <v>400</v>
      </c>
      <c r="C72" s="11">
        <f>$B$14+SUM($B$28:B72)</f>
        <v>18500</v>
      </c>
      <c r="D72" s="11">
        <f t="shared" si="1"/>
        <v>19870.6084874838</v>
      </c>
      <c r="E72" s="11">
        <f t="shared" si="2"/>
        <v>155.289399700768</v>
      </c>
      <c r="F72" s="11">
        <f t="shared" si="3"/>
        <v>3510.95596662352</v>
      </c>
    </row>
    <row r="73" spans="1:6">
      <c r="A73" s="12">
        <v>46</v>
      </c>
      <c r="B73" s="13">
        <f t="shared" si="0"/>
        <v>400</v>
      </c>
      <c r="C73" s="13">
        <f>$B$14+SUM($B$28:B73)</f>
        <v>18900</v>
      </c>
      <c r="D73" s="13">
        <f t="shared" si="1"/>
        <v>20331.4203129462</v>
      </c>
      <c r="E73" s="13">
        <f t="shared" si="2"/>
        <v>158.96486789987</v>
      </c>
      <c r="F73" s="13">
        <f t="shared" si="3"/>
        <v>3669.92083452339</v>
      </c>
    </row>
    <row r="74" spans="1:6">
      <c r="A74" s="10">
        <v>47</v>
      </c>
      <c r="B74" s="11">
        <f t="shared" si="0"/>
        <v>400</v>
      </c>
      <c r="C74" s="11">
        <f>$B$14+SUM($B$28:B74)</f>
        <v>19300</v>
      </c>
      <c r="D74" s="11">
        <f t="shared" si="1"/>
        <v>20793.6145738851</v>
      </c>
      <c r="E74" s="11">
        <f t="shared" si="2"/>
        <v>162.65136250357</v>
      </c>
      <c r="F74" s="11">
        <f t="shared" si="3"/>
        <v>3832.57219702696</v>
      </c>
    </row>
    <row r="75" spans="1:6">
      <c r="A75" s="12">
        <v>48</v>
      </c>
      <c r="B75" s="13">
        <f t="shared" si="0"/>
        <v>400</v>
      </c>
      <c r="C75" s="13">
        <f>$B$14+SUM($B$28:B75)</f>
        <v>19700</v>
      </c>
      <c r="D75" s="13">
        <f t="shared" si="1"/>
        <v>21257.1954176067</v>
      </c>
      <c r="E75" s="13">
        <f t="shared" si="2"/>
        <v>166.34891659108</v>
      </c>
      <c r="F75" s="13">
        <f t="shared" si="3"/>
        <v>3998.92111361804</v>
      </c>
    </row>
    <row r="76" spans="1:6">
      <c r="A76" s="10">
        <v>49</v>
      </c>
      <c r="B76" s="11">
        <f t="shared" si="0"/>
        <v>400</v>
      </c>
      <c r="C76" s="11">
        <f>$B$14+SUM($B$28:B76)</f>
        <v>20100</v>
      </c>
      <c r="D76" s="11">
        <f t="shared" si="1"/>
        <v>21722.1670038595</v>
      </c>
      <c r="E76" s="11">
        <f t="shared" si="2"/>
        <v>170.057563340854</v>
      </c>
      <c r="F76" s="11">
        <f t="shared" si="3"/>
        <v>4168.97867695889</v>
      </c>
    </row>
    <row r="77" spans="1:6">
      <c r="A77" s="12">
        <v>50</v>
      </c>
      <c r="B77" s="13">
        <f t="shared" si="0"/>
        <v>400</v>
      </c>
      <c r="C77" s="13">
        <f>$B$14+SUM($B$28:B77)</f>
        <v>20500</v>
      </c>
      <c r="D77" s="13">
        <f t="shared" si="1"/>
        <v>22188.5335048711</v>
      </c>
      <c r="E77" s="13">
        <f t="shared" si="2"/>
        <v>173.777336030876</v>
      </c>
      <c r="F77" s="13">
        <f t="shared" si="3"/>
        <v>4342.75601298977</v>
      </c>
    </row>
    <row r="78" spans="1:6">
      <c r="A78" s="10">
        <v>51</v>
      </c>
      <c r="B78" s="11">
        <f t="shared" si="0"/>
        <v>400</v>
      </c>
      <c r="C78" s="11">
        <f>$B$14+SUM($B$28:B78)</f>
        <v>20900</v>
      </c>
      <c r="D78" s="11">
        <f t="shared" si="1"/>
        <v>22656.2991053857</v>
      </c>
      <c r="E78" s="11">
        <f t="shared" si="2"/>
        <v>177.508268038969</v>
      </c>
      <c r="F78" s="11">
        <f t="shared" si="3"/>
        <v>4520.26428102874</v>
      </c>
    </row>
    <row r="79" spans="1:6">
      <c r="A79" s="12">
        <v>52</v>
      </c>
      <c r="B79" s="13">
        <f t="shared" si="0"/>
        <v>400</v>
      </c>
      <c r="C79" s="13">
        <f>$B$14+SUM($B$28:B79)</f>
        <v>21300</v>
      </c>
      <c r="D79" s="13">
        <f t="shared" si="1"/>
        <v>23125.4680027019</v>
      </c>
      <c r="E79" s="13">
        <f t="shared" si="2"/>
        <v>181.250392843086</v>
      </c>
      <c r="F79" s="13">
        <f t="shared" si="3"/>
        <v>4701.51467387182</v>
      </c>
    </row>
    <row r="80" spans="1:6">
      <c r="A80" s="10">
        <v>53</v>
      </c>
      <c r="B80" s="11">
        <f t="shared" si="0"/>
        <v>400</v>
      </c>
      <c r="C80" s="11">
        <f>$B$14+SUM($B$28:B80)</f>
        <v>21700</v>
      </c>
      <c r="D80" s="11">
        <f t="shared" si="1"/>
        <v>23596.04440671</v>
      </c>
      <c r="E80" s="11">
        <f t="shared" si="2"/>
        <v>185.003744021615</v>
      </c>
      <c r="F80" s="11">
        <f t="shared" si="3"/>
        <v>4886.51841789344</v>
      </c>
    </row>
    <row r="81" spans="1:6">
      <c r="A81" s="12">
        <v>54</v>
      </c>
      <c r="B81" s="13">
        <f t="shared" si="0"/>
        <v>400</v>
      </c>
      <c r="C81" s="13">
        <f>$B$14+SUM($B$28:B81)</f>
        <v>22100</v>
      </c>
      <c r="D81" s="13">
        <f t="shared" si="1"/>
        <v>24068.0325399301</v>
      </c>
      <c r="E81" s="13">
        <f t="shared" si="2"/>
        <v>188.76835525368</v>
      </c>
      <c r="F81" s="13">
        <f t="shared" si="3"/>
        <v>5075.28677314712</v>
      </c>
    </row>
    <row r="82" spans="1:6">
      <c r="A82" s="10">
        <v>55</v>
      </c>
      <c r="B82" s="11">
        <f t="shared" si="0"/>
        <v>400</v>
      </c>
      <c r="C82" s="11">
        <f>$B$14+SUM($B$28:B82)</f>
        <v>22500</v>
      </c>
      <c r="D82" s="11">
        <f t="shared" si="1"/>
        <v>24541.4366375499</v>
      </c>
      <c r="E82" s="11">
        <f t="shared" si="2"/>
        <v>192.544260319441</v>
      </c>
      <c r="F82" s="11">
        <f t="shared" si="3"/>
        <v>5267.83103346656</v>
      </c>
    </row>
    <row r="83" spans="1:6">
      <c r="A83" s="12">
        <v>56</v>
      </c>
      <c r="B83" s="13">
        <f t="shared" si="0"/>
        <v>400</v>
      </c>
      <c r="C83" s="13">
        <f>$B$14+SUM($B$28:B83)</f>
        <v>22900</v>
      </c>
      <c r="D83" s="13">
        <f t="shared" si="1"/>
        <v>25016.2609474625</v>
      </c>
      <c r="E83" s="13">
        <f t="shared" si="2"/>
        <v>196.331493100399</v>
      </c>
      <c r="F83" s="13">
        <f t="shared" si="3"/>
        <v>5464.16252656696</v>
      </c>
    </row>
    <row r="84" spans="1:6">
      <c r="A84" s="10">
        <v>57</v>
      </c>
      <c r="B84" s="11">
        <f t="shared" si="0"/>
        <v>400</v>
      </c>
      <c r="C84" s="11">
        <f>$B$14+SUM($B$28:B84)</f>
        <v>23300</v>
      </c>
      <c r="D84" s="11">
        <f t="shared" si="1"/>
        <v>25492.5097303049</v>
      </c>
      <c r="E84" s="11">
        <f t="shared" si="2"/>
        <v>200.1300875797</v>
      </c>
      <c r="F84" s="11">
        <f t="shared" si="3"/>
        <v>5664.29261414666</v>
      </c>
    </row>
    <row r="85" spans="1:6">
      <c r="A85" s="12">
        <v>58</v>
      </c>
      <c r="B85" s="13">
        <f t="shared" si="0"/>
        <v>400</v>
      </c>
      <c r="C85" s="13">
        <f>$B$14+SUM($B$28:B85)</f>
        <v>23700</v>
      </c>
      <c r="D85" s="13">
        <f t="shared" si="1"/>
        <v>25970.1872594958</v>
      </c>
      <c r="E85" s="13">
        <f t="shared" si="2"/>
        <v>203.940077842439</v>
      </c>
      <c r="F85" s="13">
        <f t="shared" si="3"/>
        <v>5868.2326919891</v>
      </c>
    </row>
    <row r="86" spans="1:6">
      <c r="A86" s="10">
        <v>59</v>
      </c>
      <c r="B86" s="11">
        <f t="shared" si="0"/>
        <v>400</v>
      </c>
      <c r="C86" s="11">
        <f>$B$14+SUM($B$28:B86)</f>
        <v>24100</v>
      </c>
      <c r="D86" s="11">
        <f t="shared" si="1"/>
        <v>26449.2978212743</v>
      </c>
      <c r="E86" s="11">
        <f t="shared" si="2"/>
        <v>207.761498075967</v>
      </c>
      <c r="F86" s="11">
        <f t="shared" si="3"/>
        <v>6075.99419006507</v>
      </c>
    </row>
    <row r="87" spans="1:6">
      <c r="A87" s="12">
        <v>60</v>
      </c>
      <c r="B87" s="13">
        <f t="shared" si="0"/>
        <v>400</v>
      </c>
      <c r="C87" s="13">
        <f>$B$14+SUM($B$28:B87)</f>
        <v>24500</v>
      </c>
      <c r="D87" s="13">
        <f t="shared" si="1"/>
        <v>26929.8457147381</v>
      </c>
      <c r="E87" s="13">
        <f t="shared" si="2"/>
        <v>211.594382570194</v>
      </c>
      <c r="F87" s="13">
        <f t="shared" si="3"/>
        <v>6287.58857263526</v>
      </c>
    </row>
    <row r="90" spans="1:6">
      <c r="A90" s="14" t="s">
        <v>18</v>
      </c>
    </row>
    <row r="91" spans="1:6">
      <c r="A91" s="15" t="s">
        <v>19</v>
      </c>
    </row>
    <row r="92" spans="1:6">
      <c r="A92" s="15" t="s">
        <v>20</v>
      </c>
    </row>
    <row r="93" spans="1:6">
      <c r="A93" s="15" t="s">
        <v>21</v>
      </c>
    </row>
    <row r="94" spans="1:6">
      <c r="A94" s="15" t="s">
        <v>22</v>
      </c>
    </row>
  </sheetData>
  <mergeCells count="3">
    <mergeCell ref="A11:F11"/>
    <mergeCell ref="A13:F13"/>
    <mergeCell ref="A20:F20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Simulador FII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Saburido</cp:lastModifiedBy>
  <cp:revision>0</cp:revision>
  <dcterms:created xsi:type="dcterms:W3CDTF">2026-09-04T16:30:00Z</dcterms:created>
  <dcterms:modified xsi:type="dcterms:W3CDTF">2026-09-04T19:42:01Z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1B153AF32F2244C7B616490A1215CF9D_13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0</vt:i4>
  </property>
</Properties>
</file>